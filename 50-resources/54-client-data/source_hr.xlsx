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_03\Dropbox\13-업무자동화\HR\★ 근로계약서\"/>
    </mc:Choice>
  </mc:AlternateContent>
  <xr:revisionPtr revIDLastSave="0" documentId="13_ncr:1_{E9C66EBC-6892-48E2-9CDC-B9365C51D279}" xr6:coauthVersionLast="47" xr6:coauthVersionMax="47" xr10:uidLastSave="{00000000-0000-0000-0000-000000000000}"/>
  <bookViews>
    <workbookView xWindow="-34910" yWindow="3090" windowWidth="29140" windowHeight="20320" xr2:uid="{00000000-000D-0000-FFFF-FFFF00000000}"/>
  </bookViews>
  <sheets>
    <sheet name="현재 재직자" sheetId="1" r:id="rId1"/>
    <sheet name="입사 3개월 시점" sheetId="2" r:id="rId2"/>
    <sheet name="기간제 갱신 캘린더" sheetId="3" r:id="rId3"/>
    <sheet name="과거 계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<sst xmlns="http://schemas.openxmlformats.org/spreadsheetml/2006/main" count="307" uniqueCount="127">
  <si>
    <t>회사</t>
  </si>
  <si>
    <t>이름</t>
  </si>
  <si>
    <t>직무</t>
  </si>
  <si>
    <t>연봉</t>
  </si>
  <si>
    <t>월 총급여</t>
  </si>
  <si>
    <t>기본급</t>
  </si>
  <si>
    <t>식대</t>
  </si>
  <si>
    <t>고정연장수당</t>
  </si>
  <si>
    <t>OT시간</t>
  </si>
  <si>
    <t>입사일</t>
  </si>
  <si>
    <t>계약유형</t>
  </si>
  <si>
    <t>계약종료일</t>
  </si>
  <si>
    <t>갱신일</t>
  </si>
  <si>
    <t>수습기간</t>
  </si>
  <si>
    <t>근무시간</t>
  </si>
  <si>
    <t>프로젝트렌트 R</t>
  </si>
  <si>
    <t xml:space="preserve">최원석 </t>
  </si>
  <si>
    <t>대표</t>
  </si>
  <si>
    <t>-</t>
  </si>
  <si>
    <t>2022-05-01</t>
  </si>
  <si>
    <t>위임계약(임원)</t>
  </si>
  <si>
    <t>배성원</t>
  </si>
  <si>
    <t>Business Lead (C레벨)</t>
  </si>
  <si>
    <t>2026-03-03</t>
  </si>
  <si>
    <t>1년 기간제</t>
  </si>
  <si>
    <t>2027-03-02</t>
  </si>
  <si>
    <t>10:00~19:00</t>
  </si>
  <si>
    <t>양은정</t>
  </si>
  <si>
    <t>매장/운영/관리</t>
  </si>
  <si>
    <t>2026-02-19</t>
  </si>
  <si>
    <t>2027-02-18</t>
  </si>
  <si>
    <t>3개월</t>
  </si>
  <si>
    <t>09:00~17:00</t>
  </si>
  <si>
    <t>원유경</t>
  </si>
  <si>
    <t>매장운영관리</t>
  </si>
  <si>
    <t>2024-04-01</t>
  </si>
  <si>
    <t>무기한</t>
  </si>
  <si>
    <t>09:00~18:00</t>
  </si>
  <si>
    <t>필라멘트앤코 F</t>
  </si>
  <si>
    <t>2015-01-01</t>
  </si>
  <si>
    <t>안윤숙</t>
  </si>
  <si>
    <t>감사</t>
  </si>
  <si>
    <t>2015-03-02</t>
  </si>
  <si>
    <t>위임계약(감사)</t>
  </si>
  <si>
    <t>전제훈</t>
  </si>
  <si>
    <t>Space Design Lead (C레벨)</t>
  </si>
  <si>
    <t>2021-12-15</t>
  </si>
  <si>
    <t>무기한+스톡옵션</t>
  </si>
  <si>
    <t>김가은</t>
  </si>
  <si>
    <t>시니어디자이너(Space branding)</t>
  </si>
  <si>
    <t>2025-06-09</t>
  </si>
  <si>
    <t>김예진</t>
  </si>
  <si>
    <t>공간디자인/브랜드리서치</t>
  </si>
  <si>
    <t>2024-12-09</t>
  </si>
  <si>
    <t>김도영</t>
  </si>
  <si>
    <t>공간디자인/프로젝트관리</t>
  </si>
  <si>
    <t>2026-03-23</t>
  </si>
  <si>
    <t>2027-03-22</t>
  </si>
  <si>
    <t>양지혜</t>
  </si>
  <si>
    <t>AE/PM/디자인/운영기획</t>
  </si>
  <si>
    <t>정예은</t>
  </si>
  <si>
    <t>2026-03-18</t>
  </si>
  <si>
    <t>2027-03-17</t>
  </si>
  <si>
    <t>조나연</t>
  </si>
  <si>
    <t>합계</t>
  </si>
  <si>
    <t>3개월 되는 날</t>
  </si>
  <si>
    <t>수습 명시</t>
  </si>
  <si>
    <t>D-Day</t>
  </si>
  <si>
    <t>상태</t>
  </si>
  <si>
    <t>R</t>
  </si>
  <si>
    <t>2026-05-19</t>
  </si>
  <si>
    <t>O</t>
  </si>
  <si>
    <t>D-30</t>
  </si>
  <si>
    <t>미도래</t>
  </si>
  <si>
    <t>F</t>
  </si>
  <si>
    <t>2026-06-03</t>
  </si>
  <si>
    <t>D-45</t>
  </si>
  <si>
    <t>백지원</t>
  </si>
  <si>
    <t>2026-03-17</t>
  </si>
  <si>
    <t>2026-06-17</t>
  </si>
  <si>
    <t>D-59</t>
  </si>
  <si>
    <t>2026-06-18</t>
  </si>
  <si>
    <t>D-60</t>
  </si>
  <si>
    <t>2026-06-23</t>
  </si>
  <si>
    <t>D-65</t>
  </si>
  <si>
    <t>2022-03-15</t>
  </si>
  <si>
    <t>경과</t>
  </si>
  <si>
    <t>2024-07-01</t>
  </si>
  <si>
    <t>백가현</t>
  </si>
  <si>
    <t>2024-11-18</t>
  </si>
  <si>
    <t>2025-02-18</t>
  </si>
  <si>
    <t>2025-03-09</t>
  </si>
  <si>
    <t>심수완</t>
  </si>
  <si>
    <t>2025-01-30</t>
  </si>
  <si>
    <t>2025-04-30</t>
  </si>
  <si>
    <t>2025-09-09</t>
  </si>
  <si>
    <t>갱신/종료일</t>
  </si>
  <si>
    <t>비고</t>
  </si>
  <si>
    <t>자동종료 조항</t>
  </si>
  <si>
    <t>6개월 재협의 (2026.09.03경)</t>
  </si>
  <si>
    <t>2027-03-16</t>
  </si>
  <si>
    <t>유형</t>
  </si>
  <si>
    <t>연봉/급여</t>
  </si>
  <si>
    <t>계약기간</t>
  </si>
  <si>
    <t>김수지</t>
  </si>
  <si>
    <t>근로계약</t>
  </si>
  <si>
    <t>2025.02.03~</t>
  </si>
  <si>
    <t>이후 프리랜서 전환</t>
  </si>
  <si>
    <t>윤혜정</t>
  </si>
  <si>
    <t>2025.02.10~</t>
  </si>
  <si>
    <t>김수정</t>
  </si>
  <si>
    <t>연봉계약</t>
  </si>
  <si>
    <t>2025.05.01~2026.04.30</t>
  </si>
  <si>
    <t>이다솜</t>
  </si>
  <si>
    <t>2025.05.01~2025.12.31</t>
  </si>
  <si>
    <t>연봉계약(구)</t>
  </si>
  <si>
    <t>C레벨로 갱신</t>
  </si>
  <si>
    <t>김민정</t>
  </si>
  <si>
    <t>프리랜서</t>
  </si>
  <si>
    <t>월2,000,000</t>
  </si>
  <si>
    <t>2025.06.13~2025.07.14</t>
  </si>
  <si>
    <t>건강검진센터 디자이너</t>
  </si>
  <si>
    <t>김난수</t>
  </si>
  <si>
    <t>월2,508,000</t>
  </si>
  <si>
    <t>2024.07.22~2025.01.22</t>
  </si>
  <si>
    <t>종료</t>
  </si>
  <si>
    <t>2024.12.01~2025.01.22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</si>
</sst>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FFFFFF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Pretendar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66FF"/>
        <bgColor rgb="FF6666FF"/>
      </patternFill>
    </fill>
    <fill>
      <patternFill patternType="solid">
        <fgColor rgb="FFFFFF99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6" fillId="0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1" fontId="3" fillId="0" borderId="0" xfId="1" applyFont="1">
      <alignment vertical="center"/>
    </xf>
    <xf numFmtId="3" fontId="7" fillId="0" borderId="1" xfId="0" applyNumberFormat="1" applyFont="1" applyBorder="1" applyAlignment="1">
      <alignment horizontal="right" vertical="center"/>
    </xf>
    <xf numFmtId="41" fontId="3" fillId="0" borderId="1" xfId="1" applyFont="1" applyBorder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66FF"/>
  </sheetPr>
  <dimension ref="A1:O17"/>
  <sheetViews>
    <sheetView tabSelected="1" topLeftCell="B1" zoomScale="115" zoomScaleNormal="115" workbookViewId="0">
      <selection activeCell="J2" sqref="J2"/>
    </sheetView>
  </sheetViews>
  <sheetFormatPr defaultColWidth="9.1640625" defaultRowHeight="14" x14ac:dyDescent="0.3"/>
  <cols>
    <col min="1" max="1" width="17" style="6" customWidth="1"/>
    <col min="2" max="2" width="9" style="6" customWidth="1"/>
    <col min="3" max="3" width="33" style="6" customWidth="1"/>
    <col min="4" max="4" width="17.6640625" style="6" customWidth="1"/>
    <col min="5" max="5" width="14.4140625" style="6" customWidth="1"/>
    <col min="6" max="6" width="12" style="6" bestFit="1" customWidth="1"/>
    <col min="7" max="7" width="10" style="6" bestFit="1" customWidth="1"/>
    <col min="8" max="8" width="15" style="6" customWidth="1"/>
    <col min="9" max="9" width="9" style="6" customWidth="1"/>
    <col min="10" max="10" width="16.83203125" style="6" customWidth="1"/>
    <col min="11" max="11" width="18" style="6" customWidth="1"/>
    <col min="12" max="13" width="13" style="6" customWidth="1"/>
    <col min="14" max="14" width="11" style="6" customWidth="1"/>
    <col min="15" max="15" width="14" style="6" customWidth="1"/>
    <col min="16" max="17" width="9.1640625" style="6" customWidth="1"/>
    <col min="18" max="16384" width="9.1640625" style="6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7" t="s">
        <v>15</v>
      </c>
      <c r="B2" s="9" t="s">
        <v>16</v>
      </c>
      <c r="C2" s="7" t="s">
        <v>17</v>
      </c>
      <c r="D2" s="16">
        <v>80000000</v>
      </c>
      <c r="E2" s="16">
        <v>6666670</v>
      </c>
      <c r="F2" s="16">
        <v>6466670</v>
      </c>
      <c r="G2" s="16">
        <v>200000</v>
      </c>
      <c r="H2" s="16">
        <v>0</v>
      </c>
      <c r="I2" s="12" t="s">
        <v>18</v>
      </c>
      <c r="J2" s="12" t="s">
        <v>19</v>
      </c>
      <c r="K2" s="12" t="s">
        <v>20</v>
      </c>
      <c r="L2" s="12" t="s">
        <v>18</v>
      </c>
      <c r="M2" s="12" t="s">
        <v>18</v>
      </c>
      <c r="N2" s="12" t="s">
        <v>18</v>
      </c>
      <c r="O2" s="12" t="s">
        <v>18</v>
      </c>
    </row>
    <row r="3" spans="1:15" x14ac:dyDescent="0.3">
      <c r="A3" s="7" t="s">
        <v>15</v>
      </c>
      <c r="B3" s="7" t="s">
        <v>21</v>
      </c>
      <c r="C3" s="7" t="s">
        <v>22</v>
      </c>
      <c r="D3" s="16">
        <v>100000000</v>
      </c>
      <c r="E3" s="16">
        <v>7500000</v>
      </c>
      <c r="F3" s="16">
        <v>6378051</v>
      </c>
      <c r="G3" s="16">
        <v>200000</v>
      </c>
      <c r="H3" s="16">
        <v>921949</v>
      </c>
      <c r="I3" s="13">
        <v>20</v>
      </c>
      <c r="J3" s="13" t="s">
        <v>23</v>
      </c>
      <c r="K3" s="7" t="s">
        <v>24</v>
      </c>
      <c r="L3" s="13" t="s">
        <v>25</v>
      </c>
      <c r="M3" s="13" t="s">
        <v>25</v>
      </c>
      <c r="N3" s="7" t="s">
        <v>18</v>
      </c>
      <c r="O3" s="13" t="s">
        <v>26</v>
      </c>
    </row>
    <row r="4" spans="1:15" x14ac:dyDescent="0.3">
      <c r="A4" s="7" t="s">
        <v>15</v>
      </c>
      <c r="B4" s="7" t="s">
        <v>27</v>
      </c>
      <c r="C4" s="7" t="s">
        <v>28</v>
      </c>
      <c r="D4" s="16">
        <v>28000000</v>
      </c>
      <c r="E4" s="16">
        <v>2333333</v>
      </c>
      <c r="F4" s="16">
        <v>1955943</v>
      </c>
      <c r="G4" s="16">
        <v>200000</v>
      </c>
      <c r="H4" s="16">
        <v>177390</v>
      </c>
      <c r="I4" s="13">
        <v>10</v>
      </c>
      <c r="J4" s="13" t="s">
        <v>29</v>
      </c>
      <c r="K4" s="7" t="s">
        <v>24</v>
      </c>
      <c r="L4" s="13" t="s">
        <v>30</v>
      </c>
      <c r="M4" s="13" t="s">
        <v>30</v>
      </c>
      <c r="N4" s="7" t="s">
        <v>31</v>
      </c>
      <c r="O4" s="13" t="s">
        <v>32</v>
      </c>
    </row>
    <row r="5" spans="1:15" x14ac:dyDescent="0.3">
      <c r="A5" s="7" t="s">
        <v>15</v>
      </c>
      <c r="B5" s="7" t="s">
        <v>33</v>
      </c>
      <c r="C5" s="7" t="s">
        <v>34</v>
      </c>
      <c r="D5" s="16">
        <v>30600000</v>
      </c>
      <c r="E5" s="16">
        <v>2550000</v>
      </c>
      <c r="F5" s="16">
        <v>2029135</v>
      </c>
      <c r="G5" s="16">
        <v>200000</v>
      </c>
      <c r="H5" s="16">
        <v>320865</v>
      </c>
      <c r="I5" s="13">
        <v>20</v>
      </c>
      <c r="J5" s="13" t="s">
        <v>35</v>
      </c>
      <c r="K5" s="7" t="s">
        <v>36</v>
      </c>
      <c r="L5" s="13" t="s">
        <v>18</v>
      </c>
      <c r="M5" s="13" t="s">
        <v>18</v>
      </c>
      <c r="N5" s="7" t="s">
        <v>18</v>
      </c>
      <c r="O5" s="13" t="s">
        <v>37</v>
      </c>
    </row>
    <row r="6" spans="1:15" x14ac:dyDescent="0.3">
      <c r="A6" s="11"/>
      <c r="B6" s="17"/>
      <c r="C6" s="17"/>
      <c r="D6" s="14"/>
      <c r="E6" s="14"/>
      <c r="F6" s="14"/>
      <c r="G6" s="14"/>
      <c r="H6" s="14"/>
      <c r="I6" s="18"/>
      <c r="J6" s="18"/>
      <c r="K6" s="17"/>
      <c r="L6" s="18"/>
      <c r="M6" s="18"/>
      <c r="N6" s="17"/>
      <c r="O6" s="18"/>
    </row>
    <row r="7" spans="1:15" x14ac:dyDescent="0.3">
      <c r="A7" s="10" t="s">
        <v>38</v>
      </c>
      <c r="B7" s="9" t="s">
        <v>16</v>
      </c>
      <c r="C7" s="7" t="s">
        <v>17</v>
      </c>
      <c r="D7" s="16">
        <v>64615440</v>
      </c>
      <c r="E7" s="16">
        <v>5384620</v>
      </c>
      <c r="F7" s="16">
        <v>5384620</v>
      </c>
      <c r="G7" s="16">
        <v>0</v>
      </c>
      <c r="H7" s="16">
        <v>0</v>
      </c>
      <c r="I7" s="13" t="s">
        <v>18</v>
      </c>
      <c r="J7" s="13" t="s">
        <v>39</v>
      </c>
      <c r="K7" s="7" t="s">
        <v>20</v>
      </c>
      <c r="L7" s="13" t="s">
        <v>18</v>
      </c>
      <c r="M7" s="13" t="s">
        <v>18</v>
      </c>
      <c r="N7" s="7" t="s">
        <v>18</v>
      </c>
      <c r="O7" s="13" t="s">
        <v>18</v>
      </c>
    </row>
    <row r="8" spans="1:15" x14ac:dyDescent="0.3">
      <c r="A8" s="10" t="s">
        <v>38</v>
      </c>
      <c r="B8" s="9" t="s">
        <v>40</v>
      </c>
      <c r="C8" s="7" t="s">
        <v>41</v>
      </c>
      <c r="D8" s="16">
        <v>9882000</v>
      </c>
      <c r="E8" s="16">
        <v>823500</v>
      </c>
      <c r="F8" s="16">
        <v>623500</v>
      </c>
      <c r="G8" s="16">
        <v>200000</v>
      </c>
      <c r="H8" s="16">
        <v>0</v>
      </c>
      <c r="I8" s="13" t="s">
        <v>18</v>
      </c>
      <c r="J8" s="13" t="s">
        <v>42</v>
      </c>
      <c r="K8" s="7" t="s">
        <v>43</v>
      </c>
      <c r="L8" s="13" t="s">
        <v>18</v>
      </c>
      <c r="M8" s="13" t="s">
        <v>18</v>
      </c>
      <c r="N8" s="7" t="s">
        <v>18</v>
      </c>
      <c r="O8" s="13" t="s">
        <v>18</v>
      </c>
    </row>
    <row r="9" spans="1:15" x14ac:dyDescent="0.3">
      <c r="A9" s="7" t="s">
        <v>38</v>
      </c>
      <c r="B9" s="7" t="s">
        <v>44</v>
      </c>
      <c r="C9" s="7" t="s">
        <v>45</v>
      </c>
      <c r="D9" s="16">
        <v>64000000</v>
      </c>
      <c r="E9" s="16">
        <v>5000000</v>
      </c>
      <c r="F9" s="16">
        <v>4115000</v>
      </c>
      <c r="G9" s="16">
        <v>200000</v>
      </c>
      <c r="H9" s="16">
        <v>685000</v>
      </c>
      <c r="I9" s="13">
        <v>20</v>
      </c>
      <c r="J9" s="13" t="s">
        <v>46</v>
      </c>
      <c r="K9" s="7" t="s">
        <v>47</v>
      </c>
      <c r="L9" s="13" t="s">
        <v>18</v>
      </c>
      <c r="M9" s="13" t="s">
        <v>18</v>
      </c>
      <c r="N9" s="7" t="s">
        <v>18</v>
      </c>
      <c r="O9" s="13" t="s">
        <v>37</v>
      </c>
    </row>
    <row r="10" spans="1:15" x14ac:dyDescent="0.3">
      <c r="A10" s="7" t="s">
        <v>38</v>
      </c>
      <c r="B10" s="7" t="s">
        <v>48</v>
      </c>
      <c r="C10" s="7" t="s">
        <v>49</v>
      </c>
      <c r="D10" s="16">
        <v>45000000</v>
      </c>
      <c r="E10" s="16">
        <v>3750000</v>
      </c>
      <c r="F10" s="16">
        <v>3079225</v>
      </c>
      <c r="G10" s="16">
        <v>200000</v>
      </c>
      <c r="H10" s="16">
        <v>470775</v>
      </c>
      <c r="I10" s="13">
        <v>20</v>
      </c>
      <c r="J10" s="13" t="s">
        <v>50</v>
      </c>
      <c r="K10" s="7" t="s">
        <v>36</v>
      </c>
      <c r="L10" s="13" t="s">
        <v>18</v>
      </c>
      <c r="M10" s="13" t="s">
        <v>18</v>
      </c>
      <c r="N10" s="7" t="s">
        <v>18</v>
      </c>
      <c r="O10" s="13" t="s">
        <v>26</v>
      </c>
    </row>
    <row r="11" spans="1:15" x14ac:dyDescent="0.3">
      <c r="A11" s="7" t="s">
        <v>38</v>
      </c>
      <c r="B11" s="7" t="s">
        <v>51</v>
      </c>
      <c r="C11" s="7" t="s">
        <v>52</v>
      </c>
      <c r="D11" s="16">
        <v>30000000</v>
      </c>
      <c r="E11" s="16">
        <v>2500000</v>
      </c>
      <c r="F11" s="16">
        <v>1986220</v>
      </c>
      <c r="G11" s="16">
        <v>200000</v>
      </c>
      <c r="H11" s="16">
        <v>313780</v>
      </c>
      <c r="I11" s="13">
        <v>20</v>
      </c>
      <c r="J11" s="13" t="s">
        <v>53</v>
      </c>
      <c r="K11" s="7" t="s">
        <v>36</v>
      </c>
      <c r="L11" s="13" t="s">
        <v>18</v>
      </c>
      <c r="M11" s="13" t="s">
        <v>18</v>
      </c>
      <c r="N11" s="7" t="s">
        <v>18</v>
      </c>
      <c r="O11" s="13" t="s">
        <v>26</v>
      </c>
    </row>
    <row r="12" spans="1:15" x14ac:dyDescent="0.3">
      <c r="A12" s="7" t="s">
        <v>38</v>
      </c>
      <c r="B12" s="7" t="s">
        <v>54</v>
      </c>
      <c r="C12" s="7" t="s">
        <v>55</v>
      </c>
      <c r="D12" s="16">
        <v>50000000</v>
      </c>
      <c r="E12" s="16">
        <v>4166667</v>
      </c>
      <c r="F12" s="16">
        <v>3443587</v>
      </c>
      <c r="G12" s="16">
        <v>200000</v>
      </c>
      <c r="H12" s="16">
        <v>523080</v>
      </c>
      <c r="I12" s="13">
        <v>20</v>
      </c>
      <c r="J12" s="13" t="s">
        <v>56</v>
      </c>
      <c r="K12" s="7" t="s">
        <v>24</v>
      </c>
      <c r="L12" s="13" t="s">
        <v>57</v>
      </c>
      <c r="M12" s="13" t="s">
        <v>57</v>
      </c>
      <c r="N12" s="7" t="s">
        <v>18</v>
      </c>
      <c r="O12" s="13" t="s">
        <v>26</v>
      </c>
    </row>
    <row r="13" spans="1:15" x14ac:dyDescent="0.3">
      <c r="A13" s="7" t="s">
        <v>38</v>
      </c>
      <c r="B13" s="7" t="s">
        <v>58</v>
      </c>
      <c r="C13" s="7" t="s">
        <v>59</v>
      </c>
      <c r="D13" s="16">
        <v>30000000</v>
      </c>
      <c r="E13" s="16">
        <v>2500000</v>
      </c>
      <c r="F13" s="16">
        <v>1986220</v>
      </c>
      <c r="G13" s="16">
        <v>200000</v>
      </c>
      <c r="H13" s="16">
        <v>313780</v>
      </c>
      <c r="I13" s="13">
        <v>20</v>
      </c>
      <c r="J13" s="13" t="s">
        <v>23</v>
      </c>
      <c r="K13" s="7" t="s">
        <v>24</v>
      </c>
      <c r="L13" s="13" t="s">
        <v>25</v>
      </c>
      <c r="M13" s="13" t="s">
        <v>25</v>
      </c>
      <c r="N13" s="7" t="s">
        <v>18</v>
      </c>
      <c r="O13" s="13" t="s">
        <v>26</v>
      </c>
    </row>
    <row r="14" spans="1:15" x14ac:dyDescent="0.3">
      <c r="A14" s="7" t="s">
        <v>38</v>
      </c>
      <c r="B14" s="7" t="s">
        <v>60</v>
      </c>
      <c r="C14" s="7" t="s">
        <v>59</v>
      </c>
      <c r="D14" s="16">
        <v>30000000</v>
      </c>
      <c r="E14" s="16">
        <v>2500000</v>
      </c>
      <c r="F14" s="16">
        <v>1986220</v>
      </c>
      <c r="G14" s="16">
        <v>200000</v>
      </c>
      <c r="H14" s="16">
        <v>313780</v>
      </c>
      <c r="I14" s="13">
        <v>20</v>
      </c>
      <c r="J14" s="13" t="s">
        <v>61</v>
      </c>
      <c r="K14" s="7" t="s">
        <v>24</v>
      </c>
      <c r="L14" s="13" t="s">
        <v>62</v>
      </c>
      <c r="M14" s="13" t="s">
        <v>62</v>
      </c>
      <c r="N14" s="7" t="s">
        <v>31</v>
      </c>
      <c r="O14" s="13" t="s">
        <v>26</v>
      </c>
    </row>
    <row r="15" spans="1:15" x14ac:dyDescent="0.3">
      <c r="A15" s="7" t="s">
        <v>38</v>
      </c>
      <c r="B15" s="7" t="s">
        <v>63</v>
      </c>
      <c r="C15" s="7" t="s">
        <v>59</v>
      </c>
      <c r="D15" s="16">
        <v>28000000</v>
      </c>
      <c r="E15" s="16">
        <v>2333333</v>
      </c>
      <c r="F15" s="16">
        <v>1978533</v>
      </c>
      <c r="G15" s="16">
        <v>200000</v>
      </c>
      <c r="H15" s="16">
        <v>154800</v>
      </c>
      <c r="I15" s="13">
        <v>10</v>
      </c>
      <c r="J15" s="13" t="s">
        <v>23</v>
      </c>
      <c r="K15" s="7" t="s">
        <v>24</v>
      </c>
      <c r="L15" s="13" t="s">
        <v>25</v>
      </c>
      <c r="M15" s="13" t="s">
        <v>25</v>
      </c>
      <c r="N15" s="7" t="s">
        <v>18</v>
      </c>
      <c r="O15" s="13" t="s">
        <v>26</v>
      </c>
    </row>
    <row r="17" spans="1:5" x14ac:dyDescent="0.3">
      <c r="A17" s="8" t="s">
        <v>64</v>
      </c>
      <c r="D17" s="15">
        <f>SUM(D3:D15)</f>
        <v>510097440</v>
      </c>
      <c r="E17" s="15">
        <v>43300000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FF"/>
  </sheetPr>
  <dimension ref="A1:G15"/>
  <sheetViews>
    <sheetView workbookViewId="0"/>
  </sheetViews>
  <sheetFormatPr defaultRowHeight="17" x14ac:dyDescent="0.45"/>
  <cols>
    <col min="1" max="1" width="9" customWidth="1"/>
    <col min="2" max="2" width="7" customWidth="1"/>
    <col min="3" max="3" width="13" customWidth="1"/>
    <col min="4" max="4" width="16" customWidth="1"/>
    <col min="5" max="5" width="12" customWidth="1"/>
    <col min="6" max="6" width="8" customWidth="1"/>
    <col min="7" max="7" width="9" customWidth="1"/>
  </cols>
  <sheetData>
    <row r="1" spans="1:7" x14ac:dyDescent="0.45">
      <c r="A1" s="1" t="s">
        <v>1</v>
      </c>
      <c r="B1" s="1" t="s">
        <v>0</v>
      </c>
      <c r="C1" s="1" t="s">
        <v>9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x14ac:dyDescent="0.45">
      <c r="A2" s="4" t="s">
        <v>27</v>
      </c>
      <c r="B2" s="4" t="s">
        <v>69</v>
      </c>
      <c r="C2" s="4" t="s">
        <v>29</v>
      </c>
      <c r="D2" s="4" t="s">
        <v>70</v>
      </c>
      <c r="E2" s="4" t="s">
        <v>71</v>
      </c>
      <c r="F2" s="4" t="s">
        <v>72</v>
      </c>
      <c r="G2" s="4" t="s">
        <v>73</v>
      </c>
    </row>
    <row r="3" spans="1:7" x14ac:dyDescent="0.45">
      <c r="A3" s="4" t="s">
        <v>58</v>
      </c>
      <c r="B3" s="4" t="s">
        <v>74</v>
      </c>
      <c r="C3" s="4" t="s">
        <v>23</v>
      </c>
      <c r="D3" s="4" t="s">
        <v>75</v>
      </c>
      <c r="E3" s="4" t="s">
        <v>18</v>
      </c>
      <c r="F3" s="4" t="s">
        <v>76</v>
      </c>
      <c r="G3" s="4" t="s">
        <v>73</v>
      </c>
    </row>
    <row r="4" spans="1:7" x14ac:dyDescent="0.45">
      <c r="A4" s="4" t="s">
        <v>63</v>
      </c>
      <c r="B4" s="4" t="s">
        <v>74</v>
      </c>
      <c r="C4" s="4" t="s">
        <v>23</v>
      </c>
      <c r="D4" s="4" t="s">
        <v>75</v>
      </c>
      <c r="E4" s="4" t="s">
        <v>18</v>
      </c>
      <c r="F4" s="4" t="s">
        <v>76</v>
      </c>
      <c r="G4" s="4" t="s">
        <v>73</v>
      </c>
    </row>
    <row r="5" spans="1:7" x14ac:dyDescent="0.45">
      <c r="A5" s="4" t="s">
        <v>21</v>
      </c>
      <c r="B5" s="4" t="s">
        <v>69</v>
      </c>
      <c r="C5" s="4" t="s">
        <v>23</v>
      </c>
      <c r="D5" s="4" t="s">
        <v>75</v>
      </c>
      <c r="E5" s="4" t="s">
        <v>18</v>
      </c>
      <c r="F5" s="4" t="s">
        <v>76</v>
      </c>
      <c r="G5" s="4" t="s">
        <v>73</v>
      </c>
    </row>
    <row r="6" spans="1:7" x14ac:dyDescent="0.45">
      <c r="A6" s="4" t="s">
        <v>77</v>
      </c>
      <c r="B6" s="4" t="s">
        <v>69</v>
      </c>
      <c r="C6" s="4" t="s">
        <v>78</v>
      </c>
      <c r="D6" s="4" t="s">
        <v>79</v>
      </c>
      <c r="E6" s="4" t="s">
        <v>71</v>
      </c>
      <c r="F6" s="4" t="s">
        <v>80</v>
      </c>
      <c r="G6" s="4" t="s">
        <v>73</v>
      </c>
    </row>
    <row r="7" spans="1:7" x14ac:dyDescent="0.45">
      <c r="A7" s="4" t="s">
        <v>60</v>
      </c>
      <c r="B7" s="4" t="s">
        <v>74</v>
      </c>
      <c r="C7" s="4" t="s">
        <v>61</v>
      </c>
      <c r="D7" s="4" t="s">
        <v>81</v>
      </c>
      <c r="E7" s="4" t="s">
        <v>71</v>
      </c>
      <c r="F7" s="4" t="s">
        <v>82</v>
      </c>
      <c r="G7" s="4" t="s">
        <v>73</v>
      </c>
    </row>
    <row r="8" spans="1:7" x14ac:dyDescent="0.45">
      <c r="A8" s="4" t="s">
        <v>54</v>
      </c>
      <c r="B8" s="4" t="s">
        <v>74</v>
      </c>
      <c r="C8" s="4" t="s">
        <v>56</v>
      </c>
      <c r="D8" s="4" t="s">
        <v>83</v>
      </c>
      <c r="E8" s="4" t="s">
        <v>18</v>
      </c>
      <c r="F8" s="4" t="s">
        <v>84</v>
      </c>
      <c r="G8" s="4" t="s">
        <v>73</v>
      </c>
    </row>
    <row r="10" spans="1:7" x14ac:dyDescent="0.45">
      <c r="A10" s="2" t="s">
        <v>44</v>
      </c>
      <c r="B10" s="2" t="s">
        <v>74</v>
      </c>
      <c r="C10" s="2" t="s">
        <v>46</v>
      </c>
      <c r="D10" s="2" t="s">
        <v>85</v>
      </c>
      <c r="E10" s="2" t="s">
        <v>18</v>
      </c>
      <c r="F10" s="2" t="s">
        <v>18</v>
      </c>
      <c r="G10" s="2" t="s">
        <v>86</v>
      </c>
    </row>
    <row r="11" spans="1:7" x14ac:dyDescent="0.45">
      <c r="A11" s="2" t="s">
        <v>33</v>
      </c>
      <c r="B11" s="2" t="s">
        <v>69</v>
      </c>
      <c r="C11" s="2" t="s">
        <v>35</v>
      </c>
      <c r="D11" s="2" t="s">
        <v>87</v>
      </c>
      <c r="E11" s="2" t="s">
        <v>18</v>
      </c>
      <c r="F11" s="2" t="s">
        <v>18</v>
      </c>
      <c r="G11" s="2" t="s">
        <v>86</v>
      </c>
    </row>
    <row r="12" spans="1:7" x14ac:dyDescent="0.45">
      <c r="A12" s="2" t="s">
        <v>88</v>
      </c>
      <c r="B12" s="2" t="s">
        <v>69</v>
      </c>
      <c r="C12" s="2" t="s">
        <v>89</v>
      </c>
      <c r="D12" s="2" t="s">
        <v>90</v>
      </c>
      <c r="E12" s="2" t="s">
        <v>18</v>
      </c>
      <c r="F12" s="2" t="s">
        <v>18</v>
      </c>
      <c r="G12" s="2" t="s">
        <v>86</v>
      </c>
    </row>
    <row r="13" spans="1:7" x14ac:dyDescent="0.45">
      <c r="A13" s="2" t="s">
        <v>51</v>
      </c>
      <c r="B13" s="2" t="s">
        <v>74</v>
      </c>
      <c r="C13" s="2" t="s">
        <v>53</v>
      </c>
      <c r="D13" s="2" t="s">
        <v>91</v>
      </c>
      <c r="E13" s="2" t="s">
        <v>18</v>
      </c>
      <c r="F13" s="2" t="s">
        <v>18</v>
      </c>
      <c r="G13" s="2" t="s">
        <v>86</v>
      </c>
    </row>
    <row r="14" spans="1:7" x14ac:dyDescent="0.45">
      <c r="A14" s="2" t="s">
        <v>92</v>
      </c>
      <c r="B14" s="2" t="s">
        <v>69</v>
      </c>
      <c r="C14" s="2" t="s">
        <v>93</v>
      </c>
      <c r="D14" s="2" t="s">
        <v>94</v>
      </c>
      <c r="E14" s="2" t="s">
        <v>18</v>
      </c>
      <c r="F14" s="2" t="s">
        <v>18</v>
      </c>
      <c r="G14" s="2" t="s">
        <v>86</v>
      </c>
    </row>
    <row r="15" spans="1:7" x14ac:dyDescent="0.45">
      <c r="A15" s="2" t="s">
        <v>48</v>
      </c>
      <c r="B15" s="2" t="s">
        <v>74</v>
      </c>
      <c r="C15" s="2" t="s">
        <v>50</v>
      </c>
      <c r="D15" s="2" t="s">
        <v>95</v>
      </c>
      <c r="E15" s="2" t="s">
        <v>18</v>
      </c>
      <c r="F15" s="2" t="s">
        <v>18</v>
      </c>
      <c r="G15" s="2" t="s">
        <v>86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66FF"/>
  </sheetPr>
  <dimension ref="A1:D8"/>
  <sheetViews>
    <sheetView workbookViewId="0"/>
  </sheetViews>
  <sheetFormatPr defaultRowHeight="17" x14ac:dyDescent="0.45"/>
  <cols>
    <col min="1" max="1" width="14" customWidth="1"/>
    <col min="2" max="2" width="9" customWidth="1"/>
    <col min="3" max="3" width="7" customWidth="1"/>
    <col min="4" max="4" width="30" customWidth="1"/>
  </cols>
  <sheetData>
    <row r="1" spans="1:4" x14ac:dyDescent="0.45">
      <c r="A1" s="1" t="s">
        <v>96</v>
      </c>
      <c r="B1" s="1" t="s">
        <v>1</v>
      </c>
      <c r="C1" s="1" t="s">
        <v>0</v>
      </c>
      <c r="D1" s="1" t="s">
        <v>97</v>
      </c>
    </row>
    <row r="2" spans="1:4" x14ac:dyDescent="0.45">
      <c r="A2" s="2" t="s">
        <v>30</v>
      </c>
      <c r="B2" s="2" t="s">
        <v>27</v>
      </c>
      <c r="C2" s="2" t="s">
        <v>69</v>
      </c>
      <c r="D2" s="2" t="s">
        <v>98</v>
      </c>
    </row>
    <row r="3" spans="1:4" x14ac:dyDescent="0.45">
      <c r="A3" s="2" t="s">
        <v>25</v>
      </c>
      <c r="B3" s="2" t="s">
        <v>21</v>
      </c>
      <c r="C3" s="2" t="s">
        <v>69</v>
      </c>
      <c r="D3" s="2" t="s">
        <v>99</v>
      </c>
    </row>
    <row r="4" spans="1:4" x14ac:dyDescent="0.45">
      <c r="A4" s="2" t="s">
        <v>25</v>
      </c>
      <c r="B4" s="2" t="s">
        <v>58</v>
      </c>
      <c r="C4" s="2" t="s">
        <v>74</v>
      </c>
      <c r="D4" s="2"/>
    </row>
    <row r="5" spans="1:4" x14ac:dyDescent="0.45">
      <c r="A5" s="2" t="s">
        <v>25</v>
      </c>
      <c r="B5" s="2" t="s">
        <v>63</v>
      </c>
      <c r="C5" s="2" t="s">
        <v>74</v>
      </c>
      <c r="D5" s="2"/>
    </row>
    <row r="6" spans="1:4" x14ac:dyDescent="0.45">
      <c r="A6" s="2" t="s">
        <v>100</v>
      </c>
      <c r="B6" s="2" t="s">
        <v>77</v>
      </c>
      <c r="C6" s="2" t="s">
        <v>69</v>
      </c>
      <c r="D6" s="2"/>
    </row>
    <row r="7" spans="1:4" x14ac:dyDescent="0.45">
      <c r="A7" s="2" t="s">
        <v>62</v>
      </c>
      <c r="B7" s="2" t="s">
        <v>60</v>
      </c>
      <c r="C7" s="2" t="s">
        <v>74</v>
      </c>
      <c r="D7" s="2"/>
    </row>
    <row r="8" spans="1:4" x14ac:dyDescent="0.45">
      <c r="A8" s="2" t="s">
        <v>57</v>
      </c>
      <c r="B8" s="2" t="s">
        <v>54</v>
      </c>
      <c r="C8" s="2" t="s">
        <v>74</v>
      </c>
      <c r="D8" s="2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66FF"/>
  </sheetPr>
  <dimension ref="A1:F9"/>
  <sheetViews>
    <sheetView workbookViewId="0"/>
  </sheetViews>
  <sheetFormatPr defaultRowHeight="17" x14ac:dyDescent="0.45"/>
  <cols>
    <col min="1" max="1" width="9" customWidth="1"/>
    <col min="2" max="2" width="7" customWidth="1"/>
    <col min="3" max="3" width="15" customWidth="1"/>
    <col min="4" max="4" width="14" customWidth="1"/>
    <col min="5" max="6" width="24" customWidth="1"/>
  </cols>
  <sheetData>
    <row r="1" spans="1:6" x14ac:dyDescent="0.45">
      <c r="A1" s="1" t="s">
        <v>1</v>
      </c>
      <c r="B1" s="1" t="s">
        <v>0</v>
      </c>
      <c r="C1" s="1" t="s">
        <v>101</v>
      </c>
      <c r="D1" s="1" t="s">
        <v>102</v>
      </c>
      <c r="E1" s="1" t="s">
        <v>103</v>
      </c>
      <c r="F1" s="1" t="s">
        <v>97</v>
      </c>
    </row>
    <row r="2" spans="1:6" x14ac:dyDescent="0.45">
      <c r="A2" s="2" t="s">
        <v>104</v>
      </c>
      <c r="B2" s="2" t="s">
        <v>69</v>
      </c>
      <c r="C2" s="2" t="s">
        <v>105</v>
      </c>
      <c r="D2" s="3">
        <v>34500000</v>
      </c>
      <c r="E2" s="2" t="s">
        <v>106</v>
      </c>
      <c r="F2" s="2" t="s">
        <v>107</v>
      </c>
    </row>
    <row r="3" spans="1:6" x14ac:dyDescent="0.45">
      <c r="A3" s="2" t="s">
        <v>108</v>
      </c>
      <c r="B3" s="2" t="s">
        <v>69</v>
      </c>
      <c r="C3" s="2" t="s">
        <v>105</v>
      </c>
      <c r="D3" s="3">
        <v>42000000</v>
      </c>
      <c r="E3" s="2" t="s">
        <v>109</v>
      </c>
      <c r="F3" s="2"/>
    </row>
    <row r="4" spans="1:6" x14ac:dyDescent="0.45">
      <c r="A4" s="2" t="s">
        <v>110</v>
      </c>
      <c r="B4" s="2" t="s">
        <v>74</v>
      </c>
      <c r="C4" s="2" t="s">
        <v>111</v>
      </c>
      <c r="D4" s="3">
        <v>37000000</v>
      </c>
      <c r="E4" s="2" t="s">
        <v>112</v>
      </c>
      <c r="F4" s="2"/>
    </row>
    <row r="5" spans="1:6" x14ac:dyDescent="0.45">
      <c r="A5" s="2" t="s">
        <v>113</v>
      </c>
      <c r="B5" s="2" t="s">
        <v>74</v>
      </c>
      <c r="C5" s="2" t="s">
        <v>111</v>
      </c>
      <c r="D5" s="3">
        <v>39000000</v>
      </c>
      <c r="E5" s="2" t="s">
        <v>114</v>
      </c>
      <c r="F5" s="2"/>
    </row>
    <row r="6" spans="1:6" x14ac:dyDescent="0.45">
      <c r="A6" s="2" t="s">
        <v>44</v>
      </c>
      <c r="B6" s="2" t="s">
        <v>74</v>
      </c>
      <c r="C6" s="2" t="s">
        <v>115</v>
      </c>
      <c r="D6" s="3">
        <v>60000000</v>
      </c>
      <c r="E6" s="2" t="s">
        <v>112</v>
      </c>
      <c r="F6" s="2" t="s">
        <v>116</v>
      </c>
    </row>
    <row r="7" spans="1:6" x14ac:dyDescent="0.45">
      <c r="A7" s="2" t="s">
        <v>117</v>
      </c>
      <c r="B7" s="2" t="s">
        <v>74</v>
      </c>
      <c r="C7" s="2" t="s">
        <v>118</v>
      </c>
      <c r="D7" s="2" t="s">
        <v>119</v>
      </c>
      <c r="E7" s="2" t="s">
        <v>120</v>
      </c>
      <c r="F7" s="2" t="s">
        <v>121</v>
      </c>
    </row>
    <row r="8" spans="1:6" x14ac:dyDescent="0.45">
      <c r="A8" s="2" t="s">
        <v>122</v>
      </c>
      <c r="B8" s="2" t="s">
        <v>69</v>
      </c>
      <c r="C8" s="2" t="s">
        <v>118</v>
      </c>
      <c r="D8" s="2" t="s">
        <v>123</v>
      </c>
      <c r="E8" s="2" t="s">
        <v>124</v>
      </c>
      <c r="F8" s="2" t="s">
        <v>125</v>
      </c>
    </row>
    <row r="9" spans="1:6" x14ac:dyDescent="0.45">
      <c r="A9" s="2" t="s">
        <v>104</v>
      </c>
      <c r="B9" s="2" t="s">
        <v>69</v>
      </c>
      <c r="C9" s="2" t="s">
        <v>118</v>
      </c>
      <c r="D9" s="2" t="s">
        <v>123</v>
      </c>
      <c r="E9" s="2" t="s">
        <v>126</v>
      </c>
      <c r="F9" s="2" t="s">
        <v>125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현재 재직자</vt:lpstr>
      <vt:lpstr>입사 3개월 시점</vt:lpstr>
      <vt:lpstr>기간제 갱신 캘린더</vt:lpstr>
      <vt:lpstr>과거 계약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렌트 프로젝트</cp:lastModifiedBy>
  <dcterms:created xsi:type="dcterms:W3CDTF">2026-04-19T10:10:58Z</dcterms:created>
  <dcterms:modified xsi:type="dcterms:W3CDTF">2026-04-30T15:24:37Z</dcterms:modified>
</cp:coreProperties>
</file>